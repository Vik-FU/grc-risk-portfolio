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48ce2ea7aab4f0/Desktop/"/>
    </mc:Choice>
  </mc:AlternateContent>
  <xr:revisionPtr revIDLastSave="32" documentId="11_473E0967A3D08E3F586B60E0C3EDAD202D36940C" xr6:coauthVersionLast="47" xr6:coauthVersionMax="47" xr10:uidLastSave="{DB4B3E84-D86D-42A9-9CE8-036BE81DD088}"/>
  <bookViews>
    <workbookView xWindow="-110" yWindow="-110" windowWidth="19420" windowHeight="11500" tabRatio="500" xr2:uid="{00000000-000D-0000-FFFF-FFFF00000000}"/>
  </bookViews>
  <sheets>
    <sheet name="ReadMe" sheetId="1" r:id="rId1"/>
    <sheet name="Context &amp; Criteria" sheetId="2" r:id="rId2"/>
    <sheet name="Risk Register" sheetId="3" r:id="rId3"/>
    <sheet name="Heat Map" sheetId="4" r:id="rId4"/>
    <sheet name="Monitoring &amp; KRIs" sheetId="5" r:id="rId5"/>
    <sheet name="ISO 31000-27001 Crosswalk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4" l="1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O7" i="3"/>
  <c r="N7" i="3"/>
  <c r="F7" i="3"/>
  <c r="G7" i="3" s="1"/>
  <c r="N6" i="3"/>
  <c r="O6" i="3" s="1"/>
  <c r="F6" i="3"/>
  <c r="G6" i="3" s="1"/>
  <c r="N5" i="3"/>
  <c r="O5" i="3" s="1"/>
  <c r="G5" i="3"/>
  <c r="F5" i="3"/>
  <c r="O4" i="3"/>
  <c r="N4" i="3"/>
  <c r="F4" i="3"/>
  <c r="G4" i="3" s="1"/>
  <c r="N3" i="3"/>
  <c r="O3" i="3" s="1"/>
  <c r="F3" i="3"/>
  <c r="G3" i="3" s="1"/>
  <c r="N2" i="3"/>
  <c r="O2" i="3" s="1"/>
  <c r="G2" i="3"/>
  <c r="B27" i="4" s="1"/>
  <c r="F2" i="3"/>
  <c r="C27" i="4" l="1"/>
  <c r="C26" i="4"/>
  <c r="C25" i="4"/>
  <c r="C24" i="4"/>
  <c r="B24" i="4"/>
  <c r="B25" i="4"/>
  <c r="B26" i="4"/>
</calcChain>
</file>

<file path=xl/sharedStrings.xml><?xml version="1.0" encoding="utf-8"?>
<sst xmlns="http://schemas.openxmlformats.org/spreadsheetml/2006/main" count="225" uniqueCount="196">
  <si>
    <t>WHY I BUILT THIS</t>
  </si>
  <si>
    <t>A NOTE ON SCOPE AND EXPERIENCE</t>
  </si>
  <si>
    <t>Assessing organisation: Meridian Financial Group (fictional). Third party assessed: CloudVault Data Services (fictional), a Material Service Provider hosting and backing up core banking data.</t>
  </si>
  <si>
    <t>HOW TO READ THIS WORKBOOK</t>
  </si>
  <si>
    <t>Blue text = an input cell (edit this to reuse the template for a different vendor).</t>
  </si>
  <si>
    <t>Black text = a formula (recalculates automatically, do not overwrite).</t>
  </si>
  <si>
    <t>Blue text = input cell</t>
  </si>
  <si>
    <t>Black text = formula</t>
  </si>
  <si>
    <t>This is a learning artefact, built to show how I think through a risk problem, not a finished consulting deliverable. If you ask me about it in an interview, I'm happy to walk through why I scored each risk the way I did and what I'd still want to learn before doing this for real.</t>
  </si>
  <si>
    <t>Establishing the Context</t>
  </si>
  <si>
    <t>Assessing organisation</t>
  </si>
  <si>
    <t>Meridian Financial Group (illustrative APRA-regulated ADI)</t>
  </si>
  <si>
    <t>Third party assessed</t>
  </si>
  <si>
    <t>CloudVault Data Services (illustrative Material Service Provider)</t>
  </si>
  <si>
    <t>Engagement scope</t>
  </si>
  <si>
    <t>Cloud hosting and backup of core banking data, including disaster recovery services</t>
  </si>
  <si>
    <t>Internal context</t>
  </si>
  <si>
    <t>ISO 27001-certified ISMS in operation; existing Material Service Provider register identifies this vendor as high-criticality due to core banking data access</t>
  </si>
  <si>
    <t>External context</t>
  </si>
  <si>
    <t>APRA CPS 230 (fully enforceable 1 July 2026); Privacy Act 1988; rising ransomware targeting of managed service providers across the sector</t>
  </si>
  <si>
    <t>Risk appetite statement</t>
  </si>
  <si>
    <t>Meridian has low tolerance for risks that could expose customer data or interrupt core banking availability beyond a 4-hour recovery time objective. Risks scoring Extreme cannot be accepted without Board Risk Committee sign-off.</t>
  </si>
  <si>
    <t>Assessment date</t>
  </si>
  <si>
    <t>15 September 2026 (illustrative)</t>
  </si>
  <si>
    <t>Next scheduled review</t>
  </si>
  <si>
    <t>15 September 2027, or earlier if triggered (see Monitoring &amp; KRIs)</t>
  </si>
  <si>
    <t>Likelihood Scale</t>
  </si>
  <si>
    <t>Rating</t>
  </si>
  <si>
    <t>Description</t>
  </si>
  <si>
    <t>Rare — may occur only in exceptional circumstances</t>
  </si>
  <si>
    <t>Unlikely — could occur at some point, but not expected</t>
  </si>
  <si>
    <t>Possible — might occur during the life of this engagement</t>
  </si>
  <si>
    <t>Likely — will probably occur at least once during this engagement</t>
  </si>
  <si>
    <t>Almost certain — expected to occur, or evidence shows it already has</t>
  </si>
  <si>
    <t>Impact Scale</t>
  </si>
  <si>
    <t>Insignificant — no material effect on data, service, or compliance</t>
  </si>
  <si>
    <t>Minor — brief internal inconvenience, no customer or regulator impact</t>
  </si>
  <si>
    <t>Moderate — limited customer impact or a contained compliance gap</t>
  </si>
  <si>
    <t>Major — customer data or service availability affected; regulator notification likely</t>
  </si>
  <si>
    <t>Severe — large-scale data exposure, extended outage, or breach of a CPS 230 obligation</t>
  </si>
  <si>
    <t>Risk Level Bands (Likelihood x Impact)</t>
  </si>
  <si>
    <t>Score Range</t>
  </si>
  <si>
    <t>Risk Level</t>
  </si>
  <si>
    <t>1 - 4</t>
  </si>
  <si>
    <t>Low</t>
  </si>
  <si>
    <t>5 - 9</t>
  </si>
  <si>
    <t>Medium</t>
  </si>
  <si>
    <t>10 - 14</t>
  </si>
  <si>
    <t>High</t>
  </si>
  <si>
    <t>15 - 25</t>
  </si>
  <si>
    <t>Extreme</t>
  </si>
  <si>
    <t>Risk ID</t>
  </si>
  <si>
    <t>Category</t>
  </si>
  <si>
    <t>Risk Description</t>
  </si>
  <si>
    <t>Inherent
Likelihood (1-5)</t>
  </si>
  <si>
    <t>Inherent
Impact (1-5)</t>
  </si>
  <si>
    <t>Inherent
Score</t>
  </si>
  <si>
    <t>Inherent
Level</t>
  </si>
  <si>
    <t>Treatment
Option</t>
  </si>
  <si>
    <t>Treatment Action</t>
  </si>
  <si>
    <t>Owner</t>
  </si>
  <si>
    <t>Target Date / Status</t>
  </si>
  <si>
    <t>Residual
Likelihood (1-5)</t>
  </si>
  <si>
    <t>Residual
Impact (1-5)</t>
  </si>
  <si>
    <t>Residual
Score</t>
  </si>
  <si>
    <t>Residual
Level</t>
  </si>
  <si>
    <t>R1</t>
  </si>
  <si>
    <t>Data Security &amp; Access Control</t>
  </si>
  <si>
    <t>Unauthorised access to customer data due to inadequate access controls at CloudVault (no MFA enforced, access reviews not evidenced).</t>
  </si>
  <si>
    <t>Reduce</t>
  </si>
  <si>
    <t>Require CloudVault to enforce MFA for all administrative access and conduct quarterly access reviews; Meridian to audit evidence annually.</t>
  </si>
  <si>
    <t>IT Security Lead, Meridian</t>
  </si>
  <si>
    <t>31 Dec 2026 - In Progress</t>
  </si>
  <si>
    <t>R2</t>
  </si>
  <si>
    <t>Operational Resilience</t>
  </si>
  <si>
    <t>Extended service outage affecting core banking data backup availability, delaying restoration beyond Meridian's 4-hour RTO.</t>
  </si>
  <si>
    <t>Renegotiate SLA to a contractual 4-hour RTO / 1-hour RPO; require quarterly DR test evidence from CloudVault.</t>
  </si>
  <si>
    <t>Vendor Relationship Manager</t>
  </si>
  <si>
    <t>31 Jan 2027 - In Progress</t>
  </si>
  <si>
    <t>R3</t>
  </si>
  <si>
    <t>Fourth-Party / Subcontracting</t>
  </si>
  <si>
    <t>CloudVault subcontracts data processing to an offshore fourth party without Meridian's knowledge or approval (concentration and visibility risk).</t>
  </si>
  <si>
    <t>Amend contract to require disclosure and prior approval of all subcontractors, with right to assess each fourth party's security posture.</t>
  </si>
  <si>
    <t>Third-Party Risk Manager</t>
  </si>
  <si>
    <t>30 Nov 2026 - In Progress</t>
  </si>
  <si>
    <t>R4</t>
  </si>
  <si>
    <t>Regulatory &amp; Compliance</t>
  </si>
  <si>
    <t>A data breach at CloudVault is not contractually required to be reported to Meridian within a defined timeframe, risking a missed CPS 230 / Privacy Act notification obligation.</t>
  </si>
  <si>
    <t>Mandate contractual notification to Meridian within 24 hours of any confirmed or suspected security incident.</t>
  </si>
  <si>
    <t>Legal &amp; Contracts</t>
  </si>
  <si>
    <t>R5</t>
  </si>
  <si>
    <t>Business Continuity</t>
  </si>
  <si>
    <t>CloudVault's business continuity and disaster recovery plan has never been tested, risking prolonged recovery in an actual disaster scenario.</t>
  </si>
  <si>
    <t>Require an annual, evidenced DR/BCP test with results shared with Meridian's Business Continuity Manager.</t>
  </si>
  <si>
    <t>Business Continuity Manager</t>
  </si>
  <si>
    <t>28 Feb 2027 - In Progress</t>
  </si>
  <si>
    <t>R6</t>
  </si>
  <si>
    <t>Contractual / Governance</t>
  </si>
  <si>
    <t>The current service agreement contains no right-to-audit clause, limiting Meridian's ability to independently verify CloudVault's control environment.</t>
  </si>
  <si>
    <t>Add a right-to-audit clause to the contract, exercisable annually or following a material incident.</t>
  </si>
  <si>
    <t>15 Sep 2026 - Closed</t>
  </si>
  <si>
    <t>Inherent Risk Heat Map</t>
  </si>
  <si>
    <t>Likelihood -&gt;</t>
  </si>
  <si>
    <t>Impact</t>
  </si>
  <si>
    <t>Residual Risk Heat Map</t>
  </si>
  <si>
    <t>Risk Count by Level</t>
  </si>
  <si>
    <t>Level</t>
  </si>
  <si>
    <t>Inherent</t>
  </si>
  <si>
    <t>Residual</t>
  </si>
  <si>
    <t>Ongoing Monitoring &amp; Review</t>
  </si>
  <si>
    <t>Frequency</t>
  </si>
  <si>
    <t>Activity</t>
  </si>
  <si>
    <t>Quarterly</t>
  </si>
  <si>
    <t>Vendor performance review</t>
  </si>
  <si>
    <t>Annual</t>
  </si>
  <si>
    <t>Full ISO 31000 risk reassessment</t>
  </si>
  <si>
    <t>Risk Committee</t>
  </si>
  <si>
    <t>Ad hoc</t>
  </si>
  <si>
    <t>Triggered by: security incident, material contract change, adverse audit finding, or new regulatory guidance (e.g. updated CPS 230 guidance)</t>
  </si>
  <si>
    <t>Reported to Board Risk Committee alongside the Material Service Provider register</t>
  </si>
  <si>
    <t>CRO / Board Risk Committee</t>
  </si>
  <si>
    <t>Key Risk Indicators (KRIs)</t>
  </si>
  <si>
    <t>KRI</t>
  </si>
  <si>
    <t>Linked Risk</t>
  </si>
  <si>
    <t>Target</t>
  </si>
  <si>
    <t>Current (illustrative)</t>
  </si>
  <si>
    <t>Trend</t>
  </si>
  <si>
    <t>% of vendor access reviews completed on schedule</t>
  </si>
  <si>
    <t>&gt;=95%</t>
  </si>
  <si>
    <t>88%</t>
  </si>
  <si>
    <t>Improving</t>
  </si>
  <si>
    <t>SLA breaches affecting availability</t>
  </si>
  <si>
    <t>0 per quarter</t>
  </si>
  <si>
    <t>1 this quarter</t>
  </si>
  <si>
    <t>Stable</t>
  </si>
  <si>
    <t>Undisclosed fourth-party subcontractors identified</t>
  </si>
  <si>
    <t>0</t>
  </si>
  <si>
    <t>1 (offshore processor)</t>
  </si>
  <si>
    <t>Ongoing</t>
  </si>
  <si>
    <t>Under remediation</t>
  </si>
  <si>
    <t>Contractual breach-notification SLA in place</t>
  </si>
  <si>
    <t>Yes, &lt;=24 hrs</t>
  </si>
  <si>
    <t>Not yet contracted</t>
  </si>
  <si>
    <t>Per incident</t>
  </si>
  <si>
    <t>Pending contract amendment</t>
  </si>
  <si>
    <t>Evidenced DR/BCP test completed</t>
  </si>
  <si>
    <t>Not yet tested</t>
  </si>
  <si>
    <t>Scheduled Q1 2027</t>
  </si>
  <si>
    <t>Where This Risk Assessment Feeds ISO 27001</t>
  </si>
  <si>
    <t>ISO 31000 is the generic parent standard for risk management; ISO 27001's own risk process (Clause 6.1.2/6.1.3) is a domain-specific application of the same principles to information security. This tab shows how each stage of this project also satisfies an ISO 27001 requirement.</t>
  </si>
  <si>
    <t>ISO 31000 Stage</t>
  </si>
  <si>
    <t>What This Project Did</t>
  </si>
  <si>
    <t>ISO 27001:2022 Clause</t>
  </si>
  <si>
    <t>Relevant Annex A Controls</t>
  </si>
  <si>
    <t>Linkage</t>
  </si>
  <si>
    <t>Establishing the context</t>
  </si>
  <si>
    <t>Defined scope, risk appetite, and likelihood/impact criteria for the CloudVault engagement</t>
  </si>
  <si>
    <t>Clause 4.1/4.2, 6.1.2(a)</t>
  </si>
  <si>
    <t>A.5.1 Policies for information security</t>
  </si>
  <si>
    <t>ISO 27001 requires documented risk criteria before any assessment begins; the Context tab is that evidence.</t>
  </si>
  <si>
    <t>Risk identification</t>
  </si>
  <si>
    <t>Identified six risks tied to CloudVault's role as a Material Service Provider</t>
  </si>
  <si>
    <t>Clause 6.1.2(c)</t>
  </si>
  <si>
    <t>A.5.9 Inventory of assets, A.5.19 Information security in supplier relationships</t>
  </si>
  <si>
    <t>Supplier risk identification under A.5.19 starts from exactly this kind of register.</t>
  </si>
  <si>
    <t>Risk analysis &amp; evaluation</t>
  </si>
  <si>
    <t>Scored each risk (likelihood x impact) and compared it against Meridian's risk appetite</t>
  </si>
  <si>
    <t>Clause 6.1.2(d)/(e)</t>
  </si>
  <si>
    <t>Feeds the Statement of Applicability (SoA)</t>
  </si>
  <si>
    <t>The scored register is the evidence an auditor expects behind SoA justification for supplier controls.</t>
  </si>
  <si>
    <t>Risk treatment</t>
  </si>
  <si>
    <t>Defined a treatment action, owner, and target date for each risk (MFA, audit rights, DR testing, subcontractor disclosure)</t>
  </si>
  <si>
    <t>Clause 6.1.3, 8.3</t>
  </si>
  <si>
    <t>A.5.20 Supplier agreements, A.5.21 ICT supply chain, A.5.22 Monitoring supplier services</t>
  </si>
  <si>
    <t>Each treatment action maps to a specific Annex A control, this is where the register becomes audit evidence.</t>
  </si>
  <si>
    <t>Monitoring &amp; review</t>
  </si>
  <si>
    <t>Set a quarterly/annual review cadence and five KRIs to track this vendor on an ongoing basis</t>
  </si>
  <si>
    <t>Clause 9.1, 9.3</t>
  </si>
  <si>
    <t>A.5.35 Independent review, A.5.36 Compliance with policies and standards</t>
  </si>
  <si>
    <t>The KRI tab operationalises the continual monitoring Clause 9.1 requires but doesn't prescribe how to do.</t>
  </si>
  <si>
    <t>Recording, reporting &amp; consultation</t>
  </si>
  <si>
    <t>Reported results to the Risk Committee quarterly and the Board annually</t>
  </si>
  <si>
    <t>Clause 5.3, 7.4, 9.2</t>
  </si>
  <si>
    <t>Supports internal audit evidence trail</t>
  </si>
  <si>
    <t>This is also the board-reporting evidence CPS 230 requires directly, one artefact serving two frameworks.</t>
  </si>
  <si>
    <t>Self-directed learning project</t>
  </si>
  <si>
    <t xml:space="preserve">ISO 31000 Third-Party Risk Assessment </t>
  </si>
  <si>
    <t>I built this to practice the ISO 31000 risk process on a realistic vendor scenario while studying for CRISC and working through ISO 31000 concepts. It's not client or employer work, I used a fictional bank and vendor so I could work through the full cycle (context, identification, analysis, evaluation, treatment, monitoring) the way I would want to on the job, and see how it connects to the ISO 27001 controls which I already know from my Lead Implementer training.</t>
  </si>
  <si>
    <t>I set the scenario at an APRA regulated bank and a cloud vendor because that's the kind of environment CPS 230 and Material Service Provider obligations actually apply to, and I wanted to learn the terminology properly. In a real organisation this work is normally split across a risk team, not done individually, so treat this as my working method, not a claim of having run a program like this end to end for a real client.</t>
  </si>
  <si>
    <t>Context &amp; Criteria : scope, risk appetite, and the likelihood/impact scales used throughout.</t>
  </si>
  <si>
    <t>Risk Register : the full identify &gt; analyse &gt; evaluate &gt; treat cycle for six illustrative risks.</t>
  </si>
  <si>
    <t>Heat Map : inherent vs residual risk plotted on a 5x5 matrix, plus a summary chart.</t>
  </si>
  <si>
    <t>Monitoring &amp; KRIs : the ongoing review cadence and indicators used to track this vendor.</t>
  </si>
  <si>
    <t>ISO 31000-27001 Crosswalk : maps each ISO 31000 stage to the ISO 27001 clause/control it satisfies.</t>
  </si>
  <si>
    <t>NOTE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</si>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</sst>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1E2761"/>
      <name val="Arial"/>
      <charset val="1"/>
    </font>
    <font>
      <i/>
      <sz val="9"/>
      <color rgb="FF66666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6100"/>
      <name val="Arial"/>
      <charset val="1"/>
    </font>
    <font>
      <sz val="10"/>
      <color rgb="FF9C6500"/>
      <name val="Arial"/>
      <charset val="1"/>
    </font>
    <font>
      <sz val="10"/>
      <color rgb="FFC65911"/>
      <name val="Arial"/>
      <charset val="1"/>
    </font>
    <font>
      <sz val="10"/>
      <color rgb="FF9C0006"/>
      <name val="Arial"/>
      <charset val="1"/>
    </font>
    <font>
      <b/>
      <sz val="12"/>
      <color rgb="FF9C6500"/>
      <name val="Arial"/>
      <charset val="1"/>
    </font>
    <font>
      <b/>
      <sz val="12"/>
      <color rgb="FFC65911"/>
      <name val="Arial"/>
      <charset val="1"/>
    </font>
    <font>
      <b/>
      <sz val="12"/>
      <color rgb="FF9C0006"/>
      <name val="Arial"/>
      <charset val="1"/>
    </font>
    <font>
      <b/>
      <sz val="12"/>
      <color rgb="FF00610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C7CE"/>
      </patternFill>
    </fill>
    <fill>
      <patternFill patternType="solid">
        <fgColor rgb="FFFFC7CE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8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C65911"/>
        <name val="Arial"/>
        <charset val="1"/>
      </font>
      <fill>
        <patternFill>
          <bgColor rgb="FFF8CBAD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C65911"/>
        <name val="Arial"/>
        <charset val="1"/>
      </font>
      <fill>
        <patternFill>
          <bgColor rgb="FFF8CBAD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4F81BD"/>
      <rgbColor rgb="FF33CCCC"/>
      <rgbColor rgb="FF99CC00"/>
      <rgbColor rgb="FFFFCC00"/>
      <rgbColor rgb="FFFF9900"/>
      <rgbColor rgb="FFC65911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Risk Count by Level: Inherent vs Residual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'Heat Map'!$B$23</c:f>
              <c:strCache>
                <c:ptCount val="1"/>
                <c:pt idx="0">
                  <c:v>Inherent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'Heat Map'!$A$24:$A$27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Extreme</c:v>
                </c:pt>
              </c:strCache>
            </c:strRef>
          </c:cat>
          <c:val>
            <c:numRef>
              <c:f>'Heat Map'!$B$24:$B$27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4-431E-8277-58F86DCFBC86}"/>
            </c:ext>
          </c:extLst>
        </c:ser>
        <c:ser>
          <c:idx val="1"/>
          <c:order val="1"/>
          <c:tx>
            <c:strRef>
              <c:f>'Heat Map'!$C$23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'Heat Map'!$A$24:$A$27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Extreme</c:v>
                </c:pt>
              </c:strCache>
            </c:strRef>
          </c:cat>
          <c:val>
            <c:numRef>
              <c:f>'Heat Map'!$C$24:$C$27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4-431E-8277-58F86DCFB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461681"/>
        <c:axId val="90425208"/>
      </c:barChart>
      <c:catAx>
        <c:axId val="59461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Risk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25208"/>
        <c:crosses val="autoZero"/>
        <c:auto val="1"/>
        <c:lblAlgn val="ctr"/>
        <c:lblOffset val="100"/>
        <c:noMultiLvlLbl val="0"/>
      </c:catAx>
      <c:valAx>
        <c:axId val="90425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risks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461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131040</xdr:rowOff>
    </xdr:from>
    <xdr:to>
      <xdr:col>12</xdr:col>
      <xdr:colOff>290160</xdr:colOff>
      <xdr:row>34</xdr:row>
      <xdr:rowOff>163080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zoomScaleNormal="100" workbookViewId="0">
      <selection activeCell="A9" sqref="A9"/>
    </sheetView>
  </sheetViews>
  <sheetFormatPr defaultColWidth="8.6328125" defaultRowHeight="14.5" x14ac:dyDescent="0.35"/>
  <cols>
    <col min="1" max="1" width="100" style="22" customWidth="1"/>
    <col min="2" max="16384" width="8.6328125" style="22"/>
  </cols>
  <sheetData>
    <row r="1" spans="1:1" ht="17.25" customHeight="1" x14ac:dyDescent="0.4">
      <c r="A1" s="21" t="s">
        <v>186</v>
      </c>
    </row>
    <row r="2" spans="1:1" ht="15" customHeight="1" x14ac:dyDescent="0.35">
      <c r="A2" s="23" t="s">
        <v>185</v>
      </c>
    </row>
    <row r="3" spans="1:1" ht="15" customHeight="1" x14ac:dyDescent="0.35">
      <c r="A3" s="24"/>
    </row>
    <row r="4" spans="1:1" ht="15" customHeight="1" x14ac:dyDescent="0.35">
      <c r="A4" s="25" t="s">
        <v>0</v>
      </c>
    </row>
    <row r="5" spans="1:1" ht="60" customHeight="1" x14ac:dyDescent="0.35">
      <c r="A5" s="24" t="s">
        <v>187</v>
      </c>
    </row>
    <row r="6" spans="1:1" ht="15" customHeight="1" x14ac:dyDescent="0.35">
      <c r="A6" s="24"/>
    </row>
    <row r="7" spans="1:1" ht="15" customHeight="1" x14ac:dyDescent="0.35">
      <c r="A7" s="23" t="s">
        <v>1</v>
      </c>
    </row>
    <row r="8" spans="1:1" ht="52" customHeight="1" x14ac:dyDescent="0.35">
      <c r="A8" s="26" t="s">
        <v>188</v>
      </c>
    </row>
    <row r="9" spans="1:1" ht="30" customHeight="1" x14ac:dyDescent="0.35">
      <c r="A9" s="26" t="s">
        <v>2</v>
      </c>
    </row>
    <row r="10" spans="1:1" ht="15" customHeight="1" x14ac:dyDescent="0.35">
      <c r="A10" s="24"/>
    </row>
    <row r="11" spans="1:1" ht="15" customHeight="1" x14ac:dyDescent="0.35">
      <c r="A11" s="25" t="s">
        <v>3</v>
      </c>
    </row>
    <row r="12" spans="1:1" ht="15" customHeight="1" x14ac:dyDescent="0.35">
      <c r="A12" s="26" t="s">
        <v>189</v>
      </c>
    </row>
    <row r="13" spans="1:1" ht="15" customHeight="1" x14ac:dyDescent="0.35">
      <c r="A13" s="26" t="s">
        <v>190</v>
      </c>
    </row>
    <row r="14" spans="1:1" ht="15" customHeight="1" x14ac:dyDescent="0.35">
      <c r="A14" s="26" t="s">
        <v>191</v>
      </c>
    </row>
    <row r="15" spans="1:1" ht="15" customHeight="1" x14ac:dyDescent="0.35">
      <c r="A15" s="26" t="s">
        <v>192</v>
      </c>
    </row>
    <row r="16" spans="1:1" ht="30" customHeight="1" x14ac:dyDescent="0.35">
      <c r="A16" s="26" t="s">
        <v>193</v>
      </c>
    </row>
    <row r="17" spans="1:1" ht="15" customHeight="1" x14ac:dyDescent="0.35">
      <c r="A17" s="24"/>
    </row>
    <row r="18" spans="1:1" ht="15" customHeight="1" x14ac:dyDescent="0.35">
      <c r="A18" s="23" t="s">
        <v>195</v>
      </c>
    </row>
    <row r="19" spans="1:1" ht="15" customHeight="1" x14ac:dyDescent="0.35">
      <c r="A19" s="24" t="s">
        <v>4</v>
      </c>
    </row>
    <row r="20" spans="1:1" ht="15" customHeight="1" x14ac:dyDescent="0.35">
      <c r="A20" s="24" t="s">
        <v>5</v>
      </c>
    </row>
    <row r="22" spans="1:1" ht="15" customHeight="1" x14ac:dyDescent="0.35">
      <c r="A22" s="27" t="s">
        <v>6</v>
      </c>
    </row>
    <row r="23" spans="1:1" ht="15" customHeight="1" x14ac:dyDescent="0.35">
      <c r="A23" s="28" t="s">
        <v>7</v>
      </c>
    </row>
    <row r="25" spans="1:1" x14ac:dyDescent="0.35">
      <c r="A25" s="23" t="s">
        <v>194</v>
      </c>
    </row>
    <row r="26" spans="1:1" ht="37.5" x14ac:dyDescent="0.35">
      <c r="A26" s="24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zoomScaleNormal="100" workbookViewId="0">
      <selection sqref="A1:B1"/>
    </sheetView>
  </sheetViews>
  <sheetFormatPr defaultColWidth="8.6328125" defaultRowHeight="14.5" x14ac:dyDescent="0.35"/>
  <cols>
    <col min="1" max="1" width="22" customWidth="1"/>
    <col min="2" max="2" width="60" customWidth="1"/>
  </cols>
  <sheetData>
    <row r="1" spans="1:2" ht="17.25" customHeight="1" x14ac:dyDescent="0.4">
      <c r="A1" s="2" t="s">
        <v>9</v>
      </c>
      <c r="B1" s="2"/>
    </row>
    <row r="3" spans="1:2" ht="45" customHeight="1" x14ac:dyDescent="0.35">
      <c r="A3" s="3" t="s">
        <v>10</v>
      </c>
      <c r="B3" s="4" t="s">
        <v>11</v>
      </c>
    </row>
    <row r="4" spans="1:2" ht="45" customHeight="1" x14ac:dyDescent="0.35">
      <c r="A4" s="3" t="s">
        <v>12</v>
      </c>
      <c r="B4" s="4" t="s">
        <v>13</v>
      </c>
    </row>
    <row r="5" spans="1:2" ht="45" customHeight="1" x14ac:dyDescent="0.35">
      <c r="A5" s="3" t="s">
        <v>14</v>
      </c>
      <c r="B5" s="4" t="s">
        <v>15</v>
      </c>
    </row>
    <row r="6" spans="1:2" ht="45" customHeight="1" x14ac:dyDescent="0.35">
      <c r="A6" s="3" t="s">
        <v>16</v>
      </c>
      <c r="B6" s="4" t="s">
        <v>17</v>
      </c>
    </row>
    <row r="7" spans="1:2" ht="45" customHeight="1" x14ac:dyDescent="0.35">
      <c r="A7" s="3" t="s">
        <v>18</v>
      </c>
      <c r="B7" s="4" t="s">
        <v>19</v>
      </c>
    </row>
    <row r="8" spans="1:2" ht="45" customHeight="1" x14ac:dyDescent="0.35">
      <c r="A8" s="3" t="s">
        <v>20</v>
      </c>
      <c r="B8" s="4" t="s">
        <v>21</v>
      </c>
    </row>
    <row r="9" spans="1:2" ht="45" customHeight="1" x14ac:dyDescent="0.35">
      <c r="A9" s="3" t="s">
        <v>22</v>
      </c>
      <c r="B9" s="4" t="s">
        <v>23</v>
      </c>
    </row>
    <row r="10" spans="1:2" ht="45" customHeight="1" x14ac:dyDescent="0.35">
      <c r="A10" s="3" t="s">
        <v>24</v>
      </c>
      <c r="B10" s="4" t="s">
        <v>25</v>
      </c>
    </row>
    <row r="12" spans="1:2" ht="17.25" customHeight="1" x14ac:dyDescent="0.4">
      <c r="A12" s="2" t="s">
        <v>26</v>
      </c>
      <c r="B12" s="2"/>
    </row>
    <row r="13" spans="1:2" ht="15" customHeight="1" x14ac:dyDescent="0.35">
      <c r="A13" s="5" t="s">
        <v>27</v>
      </c>
      <c r="B13" s="5" t="s">
        <v>28</v>
      </c>
    </row>
    <row r="14" spans="1:2" ht="15" customHeight="1" x14ac:dyDescent="0.35">
      <c r="A14" s="6">
        <v>1</v>
      </c>
      <c r="B14" s="7" t="s">
        <v>29</v>
      </c>
    </row>
    <row r="15" spans="1:2" ht="15" customHeight="1" x14ac:dyDescent="0.35">
      <c r="A15" s="6">
        <v>2</v>
      </c>
      <c r="B15" s="7" t="s">
        <v>30</v>
      </c>
    </row>
    <row r="16" spans="1:2" ht="15" customHeight="1" x14ac:dyDescent="0.35">
      <c r="A16" s="6">
        <v>3</v>
      </c>
      <c r="B16" s="7" t="s">
        <v>31</v>
      </c>
    </row>
    <row r="17" spans="1:2" ht="15" customHeight="1" x14ac:dyDescent="0.35">
      <c r="A17" s="6">
        <v>4</v>
      </c>
      <c r="B17" s="7" t="s">
        <v>32</v>
      </c>
    </row>
    <row r="18" spans="1:2" ht="15" customHeight="1" x14ac:dyDescent="0.35">
      <c r="A18" s="6">
        <v>5</v>
      </c>
      <c r="B18" s="7" t="s">
        <v>33</v>
      </c>
    </row>
    <row r="20" spans="1:2" ht="17.25" customHeight="1" x14ac:dyDescent="0.4">
      <c r="A20" s="2" t="s">
        <v>34</v>
      </c>
      <c r="B20" s="2"/>
    </row>
    <row r="21" spans="1:2" ht="15" customHeight="1" x14ac:dyDescent="0.35">
      <c r="A21" s="5" t="s">
        <v>27</v>
      </c>
      <c r="B21" s="5" t="s">
        <v>28</v>
      </c>
    </row>
    <row r="22" spans="1:2" ht="15" customHeight="1" x14ac:dyDescent="0.35">
      <c r="A22" s="6">
        <v>1</v>
      </c>
      <c r="B22" s="7" t="s">
        <v>35</v>
      </c>
    </row>
    <row r="23" spans="1:2" ht="15" customHeight="1" x14ac:dyDescent="0.35">
      <c r="A23" s="6">
        <v>2</v>
      </c>
      <c r="B23" s="7" t="s">
        <v>36</v>
      </c>
    </row>
    <row r="24" spans="1:2" ht="15" customHeight="1" x14ac:dyDescent="0.35">
      <c r="A24" s="6">
        <v>3</v>
      </c>
      <c r="B24" s="7" t="s">
        <v>37</v>
      </c>
    </row>
    <row r="25" spans="1:2" ht="23.25" customHeight="1" x14ac:dyDescent="0.35">
      <c r="A25" s="6">
        <v>4</v>
      </c>
      <c r="B25" s="7" t="s">
        <v>38</v>
      </c>
    </row>
    <row r="26" spans="1:2" ht="23.25" customHeight="1" x14ac:dyDescent="0.35">
      <c r="A26" s="6">
        <v>5</v>
      </c>
      <c r="B26" s="7" t="s">
        <v>39</v>
      </c>
    </row>
    <row r="28" spans="1:2" ht="17.25" customHeight="1" x14ac:dyDescent="0.4">
      <c r="A28" s="2" t="s">
        <v>40</v>
      </c>
      <c r="B28" s="2"/>
    </row>
    <row r="29" spans="1:2" ht="15" customHeight="1" x14ac:dyDescent="0.35">
      <c r="A29" s="5" t="s">
        <v>41</v>
      </c>
      <c r="B29" s="5" t="s">
        <v>42</v>
      </c>
    </row>
    <row r="30" spans="1:2" ht="15" customHeight="1" x14ac:dyDescent="0.35">
      <c r="A30" s="6" t="s">
        <v>43</v>
      </c>
      <c r="B30" s="8" t="s">
        <v>44</v>
      </c>
    </row>
    <row r="31" spans="1:2" ht="15" customHeight="1" x14ac:dyDescent="0.35">
      <c r="A31" s="6" t="s">
        <v>45</v>
      </c>
      <c r="B31" s="9" t="s">
        <v>46</v>
      </c>
    </row>
    <row r="32" spans="1:2" ht="15" customHeight="1" x14ac:dyDescent="0.35">
      <c r="A32" s="6" t="s">
        <v>47</v>
      </c>
      <c r="B32" s="10" t="s">
        <v>48</v>
      </c>
    </row>
    <row r="33" spans="1:2" ht="15" customHeight="1" x14ac:dyDescent="0.35">
      <c r="A33" s="6" t="s">
        <v>49</v>
      </c>
      <c r="B33" s="11" t="s">
        <v>50</v>
      </c>
    </row>
  </sheetData>
  <mergeCells count="4">
    <mergeCell ref="A1:B1"/>
    <mergeCell ref="A12:B12"/>
    <mergeCell ref="A20:B20"/>
    <mergeCell ref="A28:B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zoomScaleNormal="100" workbookViewId="0">
      <pane ySplit="1" topLeftCell="A4" activePane="bottomLeft" state="frozen"/>
      <selection pane="bottomLeft" activeCell="A2" sqref="A2"/>
    </sheetView>
  </sheetViews>
  <sheetFormatPr defaultColWidth="8.6328125" defaultRowHeight="14.5" x14ac:dyDescent="0.35"/>
  <cols>
    <col min="1" max="1" width="8" customWidth="1"/>
    <col min="2" max="2" width="20" customWidth="1"/>
    <col min="3" max="3" width="34" customWidth="1"/>
    <col min="4" max="6" width="10" customWidth="1"/>
    <col min="7" max="7" width="12" customWidth="1"/>
    <col min="8" max="8" width="14" customWidth="1"/>
    <col min="9" max="9" width="34" customWidth="1"/>
    <col min="10" max="10" width="22" customWidth="1"/>
    <col min="11" max="11" width="20" customWidth="1"/>
    <col min="12" max="14" width="10" customWidth="1"/>
    <col min="15" max="15" width="12" customWidth="1"/>
  </cols>
  <sheetData>
    <row r="1" spans="1:15" ht="42" customHeight="1" x14ac:dyDescent="0.35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65</v>
      </c>
    </row>
    <row r="2" spans="1:15" ht="60" customHeight="1" x14ac:dyDescent="0.35">
      <c r="A2" s="12" t="s">
        <v>66</v>
      </c>
      <c r="B2" s="13" t="s">
        <v>67</v>
      </c>
      <c r="C2" s="4" t="s">
        <v>68</v>
      </c>
      <c r="D2" s="13">
        <v>3</v>
      </c>
      <c r="E2" s="13">
        <v>5</v>
      </c>
      <c r="F2" s="14">
        <f t="shared" ref="F2:F7" si="0">D2*E2</f>
        <v>15</v>
      </c>
      <c r="G2" s="14" t="str">
        <f t="shared" ref="G2:G7" si="1">IF(F2&gt;=15,"Extreme",IF(F2&gt;=10,"High",IF(F2&gt;=5,"Medium","Low")))</f>
        <v>Extreme</v>
      </c>
      <c r="H2" s="13" t="s">
        <v>69</v>
      </c>
      <c r="I2" s="4" t="s">
        <v>70</v>
      </c>
      <c r="J2" s="13" t="s">
        <v>71</v>
      </c>
      <c r="K2" s="13" t="s">
        <v>72</v>
      </c>
      <c r="L2" s="13">
        <v>2</v>
      </c>
      <c r="M2" s="13">
        <v>5</v>
      </c>
      <c r="N2" s="14">
        <f t="shared" ref="N2:N7" si="2">L2*M2</f>
        <v>10</v>
      </c>
      <c r="O2" s="14" t="str">
        <f t="shared" ref="O2:O7" si="3">IF(N2&gt;=15,"Extreme",IF(N2&gt;=10,"High",IF(N2&gt;=5,"Medium","Low")))</f>
        <v>High</v>
      </c>
    </row>
    <row r="3" spans="1:15" ht="60" customHeight="1" x14ac:dyDescent="0.35">
      <c r="A3" s="12" t="s">
        <v>73</v>
      </c>
      <c r="B3" s="13" t="s">
        <v>74</v>
      </c>
      <c r="C3" s="4" t="s">
        <v>75</v>
      </c>
      <c r="D3" s="13">
        <v>2</v>
      </c>
      <c r="E3" s="13">
        <v>4</v>
      </c>
      <c r="F3" s="14">
        <f t="shared" si="0"/>
        <v>8</v>
      </c>
      <c r="G3" s="14" t="str">
        <f t="shared" si="1"/>
        <v>Medium</v>
      </c>
      <c r="H3" s="13" t="s">
        <v>69</v>
      </c>
      <c r="I3" s="4" t="s">
        <v>76</v>
      </c>
      <c r="J3" s="13" t="s">
        <v>77</v>
      </c>
      <c r="K3" s="13" t="s">
        <v>78</v>
      </c>
      <c r="L3" s="13">
        <v>1</v>
      </c>
      <c r="M3" s="13">
        <v>4</v>
      </c>
      <c r="N3" s="14">
        <f t="shared" si="2"/>
        <v>4</v>
      </c>
      <c r="O3" s="14" t="str">
        <f t="shared" si="3"/>
        <v>Low</v>
      </c>
    </row>
    <row r="4" spans="1:15" ht="60" customHeight="1" x14ac:dyDescent="0.35">
      <c r="A4" s="12" t="s">
        <v>79</v>
      </c>
      <c r="B4" s="13" t="s">
        <v>80</v>
      </c>
      <c r="C4" s="4" t="s">
        <v>81</v>
      </c>
      <c r="D4" s="13">
        <v>4</v>
      </c>
      <c r="E4" s="13">
        <v>4</v>
      </c>
      <c r="F4" s="14">
        <f t="shared" si="0"/>
        <v>16</v>
      </c>
      <c r="G4" s="14" t="str">
        <f t="shared" si="1"/>
        <v>Extreme</v>
      </c>
      <c r="H4" s="13" t="s">
        <v>69</v>
      </c>
      <c r="I4" s="4" t="s">
        <v>82</v>
      </c>
      <c r="J4" s="13" t="s">
        <v>83</v>
      </c>
      <c r="K4" s="13" t="s">
        <v>84</v>
      </c>
      <c r="L4" s="13">
        <v>2</v>
      </c>
      <c r="M4" s="13">
        <v>4</v>
      </c>
      <c r="N4" s="14">
        <f t="shared" si="2"/>
        <v>8</v>
      </c>
      <c r="O4" s="14" t="str">
        <f t="shared" si="3"/>
        <v>Medium</v>
      </c>
    </row>
    <row r="5" spans="1:15" ht="60" customHeight="1" x14ac:dyDescent="0.35">
      <c r="A5" s="12" t="s">
        <v>85</v>
      </c>
      <c r="B5" s="13" t="s">
        <v>86</v>
      </c>
      <c r="C5" s="4" t="s">
        <v>87</v>
      </c>
      <c r="D5" s="13">
        <v>2</v>
      </c>
      <c r="E5" s="13">
        <v>5</v>
      </c>
      <c r="F5" s="14">
        <f t="shared" si="0"/>
        <v>10</v>
      </c>
      <c r="G5" s="14" t="str">
        <f t="shared" si="1"/>
        <v>High</v>
      </c>
      <c r="H5" s="13" t="s">
        <v>69</v>
      </c>
      <c r="I5" s="4" t="s">
        <v>88</v>
      </c>
      <c r="J5" s="13" t="s">
        <v>89</v>
      </c>
      <c r="K5" s="13" t="s">
        <v>72</v>
      </c>
      <c r="L5" s="13">
        <v>2</v>
      </c>
      <c r="M5" s="13">
        <v>5</v>
      </c>
      <c r="N5" s="14">
        <f t="shared" si="2"/>
        <v>10</v>
      </c>
      <c r="O5" s="14" t="str">
        <f t="shared" si="3"/>
        <v>High</v>
      </c>
    </row>
    <row r="6" spans="1:15" ht="60" customHeight="1" x14ac:dyDescent="0.35">
      <c r="A6" s="12" t="s">
        <v>90</v>
      </c>
      <c r="B6" s="13" t="s">
        <v>91</v>
      </c>
      <c r="C6" s="4" t="s">
        <v>92</v>
      </c>
      <c r="D6" s="13">
        <v>3</v>
      </c>
      <c r="E6" s="13">
        <v>4</v>
      </c>
      <c r="F6" s="14">
        <f t="shared" si="0"/>
        <v>12</v>
      </c>
      <c r="G6" s="14" t="str">
        <f t="shared" si="1"/>
        <v>High</v>
      </c>
      <c r="H6" s="13" t="s">
        <v>69</v>
      </c>
      <c r="I6" s="4" t="s">
        <v>93</v>
      </c>
      <c r="J6" s="13" t="s">
        <v>94</v>
      </c>
      <c r="K6" s="13" t="s">
        <v>95</v>
      </c>
      <c r="L6" s="13">
        <v>2</v>
      </c>
      <c r="M6" s="13">
        <v>4</v>
      </c>
      <c r="N6" s="14">
        <f t="shared" si="2"/>
        <v>8</v>
      </c>
      <c r="O6" s="14" t="str">
        <f t="shared" si="3"/>
        <v>Medium</v>
      </c>
    </row>
    <row r="7" spans="1:15" ht="60" customHeight="1" x14ac:dyDescent="0.35">
      <c r="A7" s="12" t="s">
        <v>96</v>
      </c>
      <c r="B7" s="13" t="s">
        <v>97</v>
      </c>
      <c r="C7" s="4" t="s">
        <v>98</v>
      </c>
      <c r="D7" s="13">
        <v>4</v>
      </c>
      <c r="E7" s="13">
        <v>2</v>
      </c>
      <c r="F7" s="14">
        <f t="shared" si="0"/>
        <v>8</v>
      </c>
      <c r="G7" s="14" t="str">
        <f t="shared" si="1"/>
        <v>Medium</v>
      </c>
      <c r="H7" s="13" t="s">
        <v>69</v>
      </c>
      <c r="I7" s="4" t="s">
        <v>99</v>
      </c>
      <c r="J7" s="13" t="s">
        <v>89</v>
      </c>
      <c r="K7" s="13" t="s">
        <v>100</v>
      </c>
      <c r="L7" s="13">
        <v>1</v>
      </c>
      <c r="M7" s="13">
        <v>2</v>
      </c>
      <c r="N7" s="14">
        <f t="shared" si="2"/>
        <v>2</v>
      </c>
      <c r="O7" s="14" t="str">
        <f t="shared" si="3"/>
        <v>Low</v>
      </c>
    </row>
  </sheetData>
  <conditionalFormatting sqref="G2:G7">
    <cfRule type="expression" dxfId="7" priority="2">
      <formula>G2="Low"</formula>
    </cfRule>
    <cfRule type="expression" dxfId="6" priority="3">
      <formula>G2="Medium"</formula>
    </cfRule>
    <cfRule type="expression" dxfId="5" priority="4">
      <formula>G2="High"</formula>
    </cfRule>
    <cfRule type="expression" dxfId="4" priority="5">
      <formula>G2="Extreme"</formula>
    </cfRule>
  </conditionalFormatting>
  <conditionalFormatting sqref="O2:O7">
    <cfRule type="expression" dxfId="3" priority="6">
      <formula>O2="Low"</formula>
    </cfRule>
    <cfRule type="expression" dxfId="2" priority="7">
      <formula>O2="Medium"</formula>
    </cfRule>
    <cfRule type="expression" dxfId="1" priority="8">
      <formula>O2="High"</formula>
    </cfRule>
    <cfRule type="expression" dxfId="0" priority="9">
      <formula>O2="Extreme"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zoomScaleNormal="100" workbookViewId="0"/>
  </sheetViews>
  <sheetFormatPr defaultColWidth="8.6328125" defaultRowHeight="14.5" x14ac:dyDescent="0.35"/>
  <cols>
    <col min="1" max="1" width="4" customWidth="1"/>
    <col min="2" max="7" width="12" customWidth="1"/>
  </cols>
  <sheetData>
    <row r="1" spans="1:7" ht="17.25" customHeight="1" x14ac:dyDescent="0.4">
      <c r="A1" s="2" t="s">
        <v>101</v>
      </c>
      <c r="B1" s="2"/>
      <c r="C1" s="2"/>
      <c r="D1" s="2"/>
      <c r="E1" s="2"/>
      <c r="F1" s="2"/>
      <c r="G1" s="2"/>
    </row>
    <row r="3" spans="1:7" ht="15" customHeight="1" x14ac:dyDescent="0.35">
      <c r="B3" s="15" t="s">
        <v>102</v>
      </c>
      <c r="C3" s="12">
        <v>1</v>
      </c>
      <c r="D3" s="12">
        <v>2</v>
      </c>
      <c r="E3" s="12">
        <v>3</v>
      </c>
      <c r="F3" s="12">
        <v>4</v>
      </c>
      <c r="G3" s="12">
        <v>5</v>
      </c>
    </row>
    <row r="4" spans="1:7" ht="15" customHeight="1" x14ac:dyDescent="0.35">
      <c r="A4" s="16">
        <v>5</v>
      </c>
      <c r="C4" s="17">
        <f>COUNTIFS('Risk Register'!$D$2:$D$7,1,'Risk Register'!$E$2:$E$7,5)</f>
        <v>0</v>
      </c>
      <c r="D4" s="18">
        <f>COUNTIFS('Risk Register'!$D$2:$D$7,2,'Risk Register'!$E$2:$E$7,5)</f>
        <v>1</v>
      </c>
      <c r="E4" s="19">
        <f>COUNTIFS('Risk Register'!$D$2:$D$7,3,'Risk Register'!$E$2:$E$7,5)</f>
        <v>1</v>
      </c>
      <c r="F4" s="19">
        <f>COUNTIFS('Risk Register'!$D$2:$D$7,4,'Risk Register'!$E$2:$E$7,5)</f>
        <v>0</v>
      </c>
      <c r="G4" s="19">
        <f>COUNTIFS('Risk Register'!$D$2:$D$7,5,'Risk Register'!$E$2:$E$7,5)</f>
        <v>0</v>
      </c>
    </row>
    <row r="5" spans="1:7" ht="15" customHeight="1" x14ac:dyDescent="0.35">
      <c r="A5" s="16">
        <v>4</v>
      </c>
      <c r="C5" s="20">
        <f>COUNTIFS('Risk Register'!$D$2:$D$7,1,'Risk Register'!$E$2:$E$7,4)</f>
        <v>0</v>
      </c>
      <c r="D5" s="17">
        <f>COUNTIFS('Risk Register'!$D$2:$D$7,2,'Risk Register'!$E$2:$E$7,4)</f>
        <v>1</v>
      </c>
      <c r="E5" s="18">
        <f>COUNTIFS('Risk Register'!$D$2:$D$7,3,'Risk Register'!$E$2:$E$7,4)</f>
        <v>1</v>
      </c>
      <c r="F5" s="19">
        <f>COUNTIFS('Risk Register'!$D$2:$D$7,4,'Risk Register'!$E$2:$E$7,4)</f>
        <v>1</v>
      </c>
      <c r="G5" s="19">
        <f>COUNTIFS('Risk Register'!$D$2:$D$7,5,'Risk Register'!$E$2:$E$7,4)</f>
        <v>0</v>
      </c>
    </row>
    <row r="6" spans="1:7" ht="15" customHeight="1" x14ac:dyDescent="0.35">
      <c r="A6" s="16">
        <v>3</v>
      </c>
      <c r="C6" s="20">
        <f>COUNTIFS('Risk Register'!$D$2:$D$7,1,'Risk Register'!$E$2:$E$7,3)</f>
        <v>0</v>
      </c>
      <c r="D6" s="17">
        <f>COUNTIFS('Risk Register'!$D$2:$D$7,2,'Risk Register'!$E$2:$E$7,3)</f>
        <v>0</v>
      </c>
      <c r="E6" s="17">
        <f>COUNTIFS('Risk Register'!$D$2:$D$7,3,'Risk Register'!$E$2:$E$7,3)</f>
        <v>0</v>
      </c>
      <c r="F6" s="18">
        <f>COUNTIFS('Risk Register'!$D$2:$D$7,4,'Risk Register'!$E$2:$E$7,3)</f>
        <v>0</v>
      </c>
      <c r="G6" s="19">
        <f>COUNTIFS('Risk Register'!$D$2:$D$7,5,'Risk Register'!$E$2:$E$7,3)</f>
        <v>0</v>
      </c>
    </row>
    <row r="7" spans="1:7" ht="15" customHeight="1" x14ac:dyDescent="0.35">
      <c r="A7" s="16">
        <v>2</v>
      </c>
      <c r="C7" s="20">
        <f>COUNTIFS('Risk Register'!$D$2:$D$7,1,'Risk Register'!$E$2:$E$7,2)</f>
        <v>0</v>
      </c>
      <c r="D7" s="20">
        <f>COUNTIFS('Risk Register'!$D$2:$D$7,2,'Risk Register'!$E$2:$E$7,2)</f>
        <v>0</v>
      </c>
      <c r="E7" s="17">
        <f>COUNTIFS('Risk Register'!$D$2:$D$7,3,'Risk Register'!$E$2:$E$7,2)</f>
        <v>0</v>
      </c>
      <c r="F7" s="17">
        <f>COUNTIFS('Risk Register'!$D$2:$D$7,4,'Risk Register'!$E$2:$E$7,2)</f>
        <v>1</v>
      </c>
      <c r="G7" s="18">
        <f>COUNTIFS('Risk Register'!$D$2:$D$7,5,'Risk Register'!$E$2:$E$7,2)</f>
        <v>0</v>
      </c>
    </row>
    <row r="8" spans="1:7" ht="15" customHeight="1" x14ac:dyDescent="0.35">
      <c r="A8" s="16">
        <v>1</v>
      </c>
      <c r="C8" s="20">
        <f>COUNTIFS('Risk Register'!$D$2:$D$7,1,'Risk Register'!$E$2:$E$7,1)</f>
        <v>0</v>
      </c>
      <c r="D8" s="20">
        <f>COUNTIFS('Risk Register'!$D$2:$D$7,2,'Risk Register'!$E$2:$E$7,1)</f>
        <v>0</v>
      </c>
      <c r="E8" s="20">
        <f>COUNTIFS('Risk Register'!$D$2:$D$7,3,'Risk Register'!$E$2:$E$7,1)</f>
        <v>0</v>
      </c>
      <c r="F8" s="20">
        <f>COUNTIFS('Risk Register'!$D$2:$D$7,4,'Risk Register'!$E$2:$E$7,1)</f>
        <v>0</v>
      </c>
      <c r="G8" s="17">
        <f>COUNTIFS('Risk Register'!$D$2:$D$7,5,'Risk Register'!$E$2:$E$7,1)</f>
        <v>0</v>
      </c>
    </row>
    <row r="9" spans="1:7" ht="15" customHeight="1" x14ac:dyDescent="0.35">
      <c r="A9" s="15" t="s">
        <v>103</v>
      </c>
    </row>
    <row r="11" spans="1:7" ht="17.25" customHeight="1" x14ac:dyDescent="0.4">
      <c r="A11" s="2" t="s">
        <v>104</v>
      </c>
      <c r="B11" s="2"/>
      <c r="C11" s="2"/>
      <c r="D11" s="2"/>
      <c r="E11" s="2"/>
      <c r="F11" s="2"/>
      <c r="G11" s="2"/>
    </row>
    <row r="13" spans="1:7" ht="15" customHeight="1" x14ac:dyDescent="0.35">
      <c r="B13" s="15" t="s">
        <v>102</v>
      </c>
      <c r="C13" s="12">
        <v>1</v>
      </c>
      <c r="D13" s="12">
        <v>2</v>
      </c>
      <c r="E13" s="12">
        <v>3</v>
      </c>
      <c r="F13" s="12">
        <v>4</v>
      </c>
      <c r="G13" s="12">
        <v>5</v>
      </c>
    </row>
    <row r="14" spans="1:7" ht="15" customHeight="1" x14ac:dyDescent="0.35">
      <c r="A14" s="16">
        <v>5</v>
      </c>
      <c r="C14" s="17">
        <f>COUNTIFS('Risk Register'!$L$2:$L$7,1,'Risk Register'!$M$2:$M$7,5)</f>
        <v>0</v>
      </c>
      <c r="D14" s="18">
        <f>COUNTIFS('Risk Register'!$L$2:$L$7,2,'Risk Register'!$M$2:$M$7,5)</f>
        <v>2</v>
      </c>
      <c r="E14" s="19">
        <f>COUNTIFS('Risk Register'!$L$2:$L$7,3,'Risk Register'!$M$2:$M$7,5)</f>
        <v>0</v>
      </c>
      <c r="F14" s="19">
        <f>COUNTIFS('Risk Register'!$L$2:$L$7,4,'Risk Register'!$M$2:$M$7,5)</f>
        <v>0</v>
      </c>
      <c r="G14" s="19">
        <f>COUNTIFS('Risk Register'!$L$2:$L$7,5,'Risk Register'!$M$2:$M$7,5)</f>
        <v>0</v>
      </c>
    </row>
    <row r="15" spans="1:7" ht="15" customHeight="1" x14ac:dyDescent="0.35">
      <c r="A15" s="16">
        <v>4</v>
      </c>
      <c r="C15" s="20">
        <f>COUNTIFS('Risk Register'!$L$2:$L$7,1,'Risk Register'!$M$2:$M$7,4)</f>
        <v>1</v>
      </c>
      <c r="D15" s="17">
        <f>COUNTIFS('Risk Register'!$L$2:$L$7,2,'Risk Register'!$M$2:$M$7,4)</f>
        <v>2</v>
      </c>
      <c r="E15" s="18">
        <f>COUNTIFS('Risk Register'!$L$2:$L$7,3,'Risk Register'!$M$2:$M$7,4)</f>
        <v>0</v>
      </c>
      <c r="F15" s="19">
        <f>COUNTIFS('Risk Register'!$L$2:$L$7,4,'Risk Register'!$M$2:$M$7,4)</f>
        <v>0</v>
      </c>
      <c r="G15" s="19">
        <f>COUNTIFS('Risk Register'!$L$2:$L$7,5,'Risk Register'!$M$2:$M$7,4)</f>
        <v>0</v>
      </c>
    </row>
    <row r="16" spans="1:7" ht="15" customHeight="1" x14ac:dyDescent="0.35">
      <c r="A16" s="16">
        <v>3</v>
      </c>
      <c r="C16" s="20">
        <f>COUNTIFS('Risk Register'!$L$2:$L$7,1,'Risk Register'!$M$2:$M$7,3)</f>
        <v>0</v>
      </c>
      <c r="D16" s="17">
        <f>COUNTIFS('Risk Register'!$L$2:$L$7,2,'Risk Register'!$M$2:$M$7,3)</f>
        <v>0</v>
      </c>
      <c r="E16" s="17">
        <f>COUNTIFS('Risk Register'!$L$2:$L$7,3,'Risk Register'!$M$2:$M$7,3)</f>
        <v>0</v>
      </c>
      <c r="F16" s="18">
        <f>COUNTIFS('Risk Register'!$L$2:$L$7,4,'Risk Register'!$M$2:$M$7,3)</f>
        <v>0</v>
      </c>
      <c r="G16" s="19">
        <f>COUNTIFS('Risk Register'!$L$2:$L$7,5,'Risk Register'!$M$2:$M$7,3)</f>
        <v>0</v>
      </c>
    </row>
    <row r="17" spans="1:7" ht="15" customHeight="1" x14ac:dyDescent="0.35">
      <c r="A17" s="16">
        <v>2</v>
      </c>
      <c r="C17" s="20">
        <f>COUNTIFS('Risk Register'!$L$2:$L$7,1,'Risk Register'!$M$2:$M$7,2)</f>
        <v>1</v>
      </c>
      <c r="D17" s="20">
        <f>COUNTIFS('Risk Register'!$L$2:$L$7,2,'Risk Register'!$M$2:$M$7,2)</f>
        <v>0</v>
      </c>
      <c r="E17" s="17">
        <f>COUNTIFS('Risk Register'!$L$2:$L$7,3,'Risk Register'!$M$2:$M$7,2)</f>
        <v>0</v>
      </c>
      <c r="F17" s="17">
        <f>COUNTIFS('Risk Register'!$L$2:$L$7,4,'Risk Register'!$M$2:$M$7,2)</f>
        <v>0</v>
      </c>
      <c r="G17" s="18">
        <f>COUNTIFS('Risk Register'!$L$2:$L$7,5,'Risk Register'!$M$2:$M$7,2)</f>
        <v>0</v>
      </c>
    </row>
    <row r="18" spans="1:7" ht="15" customHeight="1" x14ac:dyDescent="0.35">
      <c r="A18" s="16">
        <v>1</v>
      </c>
      <c r="C18" s="20">
        <f>COUNTIFS('Risk Register'!$L$2:$L$7,1,'Risk Register'!$M$2:$M$7,1)</f>
        <v>0</v>
      </c>
      <c r="D18" s="20">
        <f>COUNTIFS('Risk Register'!$L$2:$L$7,2,'Risk Register'!$M$2:$M$7,1)</f>
        <v>0</v>
      </c>
      <c r="E18" s="20">
        <f>COUNTIFS('Risk Register'!$L$2:$L$7,3,'Risk Register'!$M$2:$M$7,1)</f>
        <v>0</v>
      </c>
      <c r="F18" s="20">
        <f>COUNTIFS('Risk Register'!$L$2:$L$7,4,'Risk Register'!$M$2:$M$7,1)</f>
        <v>0</v>
      </c>
      <c r="G18" s="17">
        <f>COUNTIFS('Risk Register'!$L$2:$L$7,5,'Risk Register'!$M$2:$M$7,1)</f>
        <v>0</v>
      </c>
    </row>
    <row r="19" spans="1:7" ht="15" customHeight="1" x14ac:dyDescent="0.35">
      <c r="A19" s="15" t="s">
        <v>103</v>
      </c>
    </row>
    <row r="22" spans="1:7" ht="17.25" customHeight="1" x14ac:dyDescent="0.4">
      <c r="A22" s="2" t="s">
        <v>105</v>
      </c>
      <c r="B22" s="2"/>
      <c r="C22" s="2"/>
      <c r="D22" s="2"/>
    </row>
    <row r="23" spans="1:7" ht="26.25" customHeight="1" x14ac:dyDescent="0.35">
      <c r="A23" s="5" t="s">
        <v>106</v>
      </c>
      <c r="B23" s="5" t="s">
        <v>107</v>
      </c>
      <c r="C23" s="5" t="s">
        <v>108</v>
      </c>
    </row>
    <row r="24" spans="1:7" ht="15" customHeight="1" x14ac:dyDescent="0.35">
      <c r="A24" s="6" t="s">
        <v>44</v>
      </c>
      <c r="B24" s="14">
        <f>COUNTIF('Risk Register'!$G$2:$G$7,"Low")</f>
        <v>0</v>
      </c>
      <c r="C24" s="14">
        <f>COUNTIF('Risk Register'!$O$2:$O$7,"Low")</f>
        <v>2</v>
      </c>
    </row>
    <row r="25" spans="1:7" ht="15" customHeight="1" x14ac:dyDescent="0.35">
      <c r="A25" s="6" t="s">
        <v>46</v>
      </c>
      <c r="B25" s="14">
        <f>COUNTIF('Risk Register'!$G$2:$G$7,"Medium")</f>
        <v>2</v>
      </c>
      <c r="C25" s="14">
        <f>COUNTIF('Risk Register'!$O$2:$O$7,"Medium")</f>
        <v>2</v>
      </c>
    </row>
    <row r="26" spans="1:7" ht="15" customHeight="1" x14ac:dyDescent="0.35">
      <c r="A26" s="6" t="s">
        <v>48</v>
      </c>
      <c r="B26" s="14">
        <f>COUNTIF('Risk Register'!$G$2:$G$7,"High")</f>
        <v>2</v>
      </c>
      <c r="C26" s="14">
        <f>COUNTIF('Risk Register'!$O$2:$O$7,"High")</f>
        <v>2</v>
      </c>
    </row>
    <row r="27" spans="1:7" ht="15" customHeight="1" x14ac:dyDescent="0.35">
      <c r="A27" s="6" t="s">
        <v>50</v>
      </c>
      <c r="B27" s="14">
        <f>COUNTIF('Risk Register'!$G$2:$G$7,"Extreme")</f>
        <v>2</v>
      </c>
      <c r="C27" s="14">
        <f>COUNTIF('Risk Register'!$O$2:$O$7,"Extreme")</f>
        <v>0</v>
      </c>
    </row>
  </sheetData>
  <mergeCells count="3">
    <mergeCell ref="A1:G1"/>
    <mergeCell ref="A11:G11"/>
    <mergeCell ref="A22:D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34" customWidth="1"/>
    <col min="3" max="3" width="16" customWidth="1"/>
    <col min="4" max="4" width="20" customWidth="1"/>
    <col min="5" max="5" width="14" customWidth="1"/>
    <col min="6" max="6" width="26" customWidth="1"/>
  </cols>
  <sheetData>
    <row r="1" spans="1:6" ht="17.25" customHeight="1" x14ac:dyDescent="0.4">
      <c r="A1" s="2" t="s">
        <v>109</v>
      </c>
      <c r="B1" s="2"/>
      <c r="C1" s="2"/>
      <c r="D1" s="2"/>
      <c r="E1" s="2"/>
      <c r="F1" s="2"/>
    </row>
    <row r="3" spans="1:6" ht="15" customHeight="1" x14ac:dyDescent="0.35">
      <c r="A3" s="5" t="s">
        <v>110</v>
      </c>
      <c r="B3" s="5" t="s">
        <v>111</v>
      </c>
      <c r="C3" s="5" t="s">
        <v>60</v>
      </c>
    </row>
    <row r="4" spans="1:6" ht="30" customHeight="1" x14ac:dyDescent="0.35">
      <c r="A4" s="4" t="s">
        <v>112</v>
      </c>
      <c r="B4" s="4" t="s">
        <v>113</v>
      </c>
      <c r="C4" s="4" t="s">
        <v>83</v>
      </c>
    </row>
    <row r="5" spans="1:6" ht="30" customHeight="1" x14ac:dyDescent="0.35">
      <c r="A5" s="4" t="s">
        <v>114</v>
      </c>
      <c r="B5" s="4" t="s">
        <v>115</v>
      </c>
      <c r="C5" s="4" t="s">
        <v>116</v>
      </c>
    </row>
    <row r="6" spans="1:6" ht="30" customHeight="1" x14ac:dyDescent="0.35">
      <c r="A6" s="4" t="s">
        <v>117</v>
      </c>
      <c r="B6" s="4" t="s">
        <v>118</v>
      </c>
      <c r="C6" s="4" t="s">
        <v>83</v>
      </c>
    </row>
    <row r="7" spans="1:6" ht="30" customHeight="1" x14ac:dyDescent="0.35">
      <c r="A7" s="4" t="s">
        <v>114</v>
      </c>
      <c r="B7" s="4" t="s">
        <v>119</v>
      </c>
      <c r="C7" s="4" t="s">
        <v>120</v>
      </c>
    </row>
    <row r="9" spans="1:6" ht="17.25" customHeight="1" x14ac:dyDescent="0.4">
      <c r="A9" s="2" t="s">
        <v>121</v>
      </c>
      <c r="B9" s="2"/>
      <c r="C9" s="2"/>
      <c r="D9" s="2"/>
      <c r="E9" s="2"/>
      <c r="F9" s="2"/>
    </row>
    <row r="10" spans="1:6" ht="26.25" customHeight="1" x14ac:dyDescent="0.35">
      <c r="A10" s="5" t="s">
        <v>122</v>
      </c>
      <c r="B10" s="5" t="s">
        <v>123</v>
      </c>
      <c r="C10" s="5" t="s">
        <v>124</v>
      </c>
      <c r="D10" s="5" t="s">
        <v>125</v>
      </c>
      <c r="E10" s="5" t="s">
        <v>110</v>
      </c>
      <c r="F10" s="5" t="s">
        <v>126</v>
      </c>
    </row>
    <row r="11" spans="1:6" ht="30" customHeight="1" x14ac:dyDescent="0.35">
      <c r="A11" s="4" t="s">
        <v>127</v>
      </c>
      <c r="B11" s="4" t="s">
        <v>66</v>
      </c>
      <c r="C11" s="4" t="s">
        <v>128</v>
      </c>
      <c r="D11" s="4" t="s">
        <v>129</v>
      </c>
      <c r="E11" s="4" t="s">
        <v>112</v>
      </c>
      <c r="F11" s="4" t="s">
        <v>130</v>
      </c>
    </row>
    <row r="12" spans="1:6" ht="30" customHeight="1" x14ac:dyDescent="0.35">
      <c r="A12" s="4" t="s">
        <v>131</v>
      </c>
      <c r="B12" s="4" t="s">
        <v>73</v>
      </c>
      <c r="C12" s="4" t="s">
        <v>132</v>
      </c>
      <c r="D12" s="4" t="s">
        <v>133</v>
      </c>
      <c r="E12" s="4" t="s">
        <v>112</v>
      </c>
      <c r="F12" s="4" t="s">
        <v>134</v>
      </c>
    </row>
    <row r="13" spans="1:6" ht="30" customHeight="1" x14ac:dyDescent="0.35">
      <c r="A13" s="4" t="s">
        <v>135</v>
      </c>
      <c r="B13" s="4" t="s">
        <v>79</v>
      </c>
      <c r="C13" s="4" t="s">
        <v>136</v>
      </c>
      <c r="D13" s="4" t="s">
        <v>137</v>
      </c>
      <c r="E13" s="4" t="s">
        <v>138</v>
      </c>
      <c r="F13" s="4" t="s">
        <v>139</v>
      </c>
    </row>
    <row r="14" spans="1:6" ht="30" customHeight="1" x14ac:dyDescent="0.35">
      <c r="A14" s="4" t="s">
        <v>140</v>
      </c>
      <c r="B14" s="4" t="s">
        <v>85</v>
      </c>
      <c r="C14" s="4" t="s">
        <v>141</v>
      </c>
      <c r="D14" s="4" t="s">
        <v>142</v>
      </c>
      <c r="E14" s="4" t="s">
        <v>143</v>
      </c>
      <c r="F14" s="4" t="s">
        <v>144</v>
      </c>
    </row>
    <row r="15" spans="1:6" ht="30" customHeight="1" x14ac:dyDescent="0.35">
      <c r="A15" s="4" t="s">
        <v>145</v>
      </c>
      <c r="B15" s="4" t="s">
        <v>90</v>
      </c>
      <c r="C15" s="4" t="s">
        <v>114</v>
      </c>
      <c r="D15" s="4" t="s">
        <v>146</v>
      </c>
      <c r="E15" s="4" t="s">
        <v>114</v>
      </c>
      <c r="F15" s="4" t="s">
        <v>147</v>
      </c>
    </row>
  </sheetData>
  <mergeCells count="2">
    <mergeCell ref="A1:F1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40" customWidth="1"/>
    <col min="3" max="3" width="20" customWidth="1"/>
    <col min="4" max="4" width="26" customWidth="1"/>
    <col min="5" max="5" width="44" customWidth="1"/>
  </cols>
  <sheetData>
    <row r="1" spans="1:5" ht="17.25" customHeight="1" x14ac:dyDescent="0.4">
      <c r="A1" s="2" t="s">
        <v>148</v>
      </c>
      <c r="B1" s="2"/>
      <c r="C1" s="2"/>
      <c r="D1" s="2"/>
      <c r="E1" s="2"/>
    </row>
    <row r="2" spans="1:5" ht="45" customHeight="1" x14ac:dyDescent="0.35">
      <c r="A2" s="1" t="s">
        <v>149</v>
      </c>
      <c r="B2" s="1"/>
      <c r="C2" s="1"/>
      <c r="D2" s="1"/>
      <c r="E2" s="1"/>
    </row>
    <row r="4" spans="1:5" ht="26.25" customHeight="1" x14ac:dyDescent="0.35">
      <c r="A4" s="5" t="s">
        <v>150</v>
      </c>
      <c r="B4" s="5" t="s">
        <v>151</v>
      </c>
      <c r="C4" s="5" t="s">
        <v>152</v>
      </c>
      <c r="D4" s="5" t="s">
        <v>153</v>
      </c>
      <c r="E4" s="5" t="s">
        <v>154</v>
      </c>
    </row>
    <row r="5" spans="1:5" ht="60" customHeight="1" x14ac:dyDescent="0.35">
      <c r="A5" s="3" t="s">
        <v>155</v>
      </c>
      <c r="B5" s="7" t="s">
        <v>156</v>
      </c>
      <c r="C5" s="7" t="s">
        <v>157</v>
      </c>
      <c r="D5" s="7" t="s">
        <v>158</v>
      </c>
      <c r="E5" s="7" t="s">
        <v>159</v>
      </c>
    </row>
    <row r="6" spans="1:5" ht="60" customHeight="1" x14ac:dyDescent="0.35">
      <c r="A6" s="3" t="s">
        <v>160</v>
      </c>
      <c r="B6" s="7" t="s">
        <v>161</v>
      </c>
      <c r="C6" s="7" t="s">
        <v>162</v>
      </c>
      <c r="D6" s="7" t="s">
        <v>163</v>
      </c>
      <c r="E6" s="7" t="s">
        <v>164</v>
      </c>
    </row>
    <row r="7" spans="1:5" ht="60" customHeight="1" x14ac:dyDescent="0.35">
      <c r="A7" s="3" t="s">
        <v>165</v>
      </c>
      <c r="B7" s="7" t="s">
        <v>166</v>
      </c>
      <c r="C7" s="7" t="s">
        <v>167</v>
      </c>
      <c r="D7" s="7" t="s">
        <v>168</v>
      </c>
      <c r="E7" s="7" t="s">
        <v>169</v>
      </c>
    </row>
    <row r="8" spans="1:5" ht="60" customHeight="1" x14ac:dyDescent="0.35">
      <c r="A8" s="3" t="s">
        <v>170</v>
      </c>
      <c r="B8" s="7" t="s">
        <v>171</v>
      </c>
      <c r="C8" s="7" t="s">
        <v>172</v>
      </c>
      <c r="D8" s="7" t="s">
        <v>173</v>
      </c>
      <c r="E8" s="7" t="s">
        <v>174</v>
      </c>
    </row>
    <row r="9" spans="1:5" ht="60" customHeight="1" x14ac:dyDescent="0.35">
      <c r="A9" s="3" t="s">
        <v>175</v>
      </c>
      <c r="B9" s="7" t="s">
        <v>176</v>
      </c>
      <c r="C9" s="7" t="s">
        <v>177</v>
      </c>
      <c r="D9" s="7" t="s">
        <v>178</v>
      </c>
      <c r="E9" s="7" t="s">
        <v>179</v>
      </c>
    </row>
    <row r="10" spans="1:5" ht="60" customHeight="1" x14ac:dyDescent="0.35">
      <c r="A10" s="3" t="s">
        <v>180</v>
      </c>
      <c r="B10" s="7" t="s">
        <v>181</v>
      </c>
      <c r="C10" s="7" t="s">
        <v>182</v>
      </c>
      <c r="D10" s="7" t="s">
        <v>183</v>
      </c>
      <c r="E10" s="7" t="s">
        <v>184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Context &amp; Criteria</vt:lpstr>
      <vt:lpstr>Risk Register</vt:lpstr>
      <vt:lpstr>Heat Map</vt:lpstr>
      <vt:lpstr>Monitoring &amp; KRIs</vt:lpstr>
      <vt:lpstr>ISO 31000-27001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Vikas Kumar</cp:lastModifiedBy>
  <cp:revision>2</cp:revision>
  <dcterms:created xsi:type="dcterms:W3CDTF">2026-08-27T15:57:02Z</dcterms:created>
  <dcterms:modified xsi:type="dcterms:W3CDTF">2026-09-27T15:17:21Z</dcterms:modified>
  <dc:language>en-US</dc:language>
</cp:coreProperties>
</file>